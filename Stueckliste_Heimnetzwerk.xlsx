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ückliste" sheetId="1" state="visible" r:id="rId3"/>
    <sheet name="Endnutzergerä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<sst xmlns="http://schemas.openxmlformats.org/spreadsheetml/2006/main" count="88" uniqueCount="58">
  <si>
    <t xml:space="preserve">Stückliste – Heimnetzwerk Auftrag G</t>
  </si>
  <si>
    <t xml:space="preserve">Alle Preise in CHF inkl. MwSt. · Quelle: digitec.ch · Stand: Mai 2026</t>
  </si>
  <si>
    <t xml:space="preserve">Pos.</t>
  </si>
  <si>
    <t xml:space="preserve">Bezeichnung</t>
  </si>
  <si>
    <t xml:space="preserve">Typ</t>
  </si>
  <si>
    <t xml:space="preserve">Menge</t>
  </si>
  <si>
    <t xml:space="preserve">Einzelpreis
(CHF)</t>
  </si>
  <si>
    <t xml:space="preserve">Gesamtpreis
(CHF)</t>
  </si>
  <si>
    <t xml:space="preserve">Shop</t>
  </si>
  <si>
    <t xml:space="preserve">Link</t>
  </si>
  <si>
    <t xml:space="preserve">Sunrise Connect Box 3
(wird vom ISP gestellt, nicht im Handel erhältlich)</t>
  </si>
  <si>
    <t xml:space="preserve">Router</t>
  </si>
  <si>
    <t xml:space="preserve">ISP-gestellt</t>
  </si>
  <si>
    <t xml:space="preserve">–</t>
  </si>
  <si>
    <t xml:space="preserve">sunrise.ch</t>
  </si>
  <si>
    <t xml:space="preserve">https://www.sunrise.ch/de/support/internet/connect-box-3</t>
  </si>
  <si>
    <t xml:space="preserve">TP-Link TL-SG108 8-Port Gigabit Switch</t>
  </si>
  <si>
    <t xml:space="preserve">Switch</t>
  </si>
  <si>
    <t xml:space="preserve">digitec.ch</t>
  </si>
  <si>
    <t xml:space="preserve">https://www.digitec.ch/de/s1/product/tp-link-tl-sg108-8-ports-netzwerk-switch-737152</t>
  </si>
  <si>
    <t xml:space="preserve">ASUS RT-BE58U
ASUS RT-BE58U</t>
  </si>
  <si>
    <t xml:space="preserve">Router / Access Point</t>
  </si>
  <si>
    <t xml:space="preserve">https://www.digitec.ch/en/s1/product/asus-rt-be58u-routers-47005074</t>
  </si>
  <si>
    <t xml:space="preserve">digitec Cat6a S/FTP Patchkabel 2 m</t>
  </si>
  <si>
    <t xml:space="preserve">LAN-Kabel</t>
  </si>
  <si>
    <t xml:space="preserve">https://www.digitec.ch/de/s1/product/digitec-ethernet-patchkabel-rj45-sftp-cat6a-2-m-netzwerkkabel-12118144</t>
  </si>
  <si>
    <t xml:space="preserve">digitec Cat6a S/FTP Patchkabel 10 m</t>
  </si>
  <si>
    <t xml:space="preserve">https://www.digitec.ch/de/s1/product/digitec-ethernet-patchkabel-rj45-sftp-cat6a-10-m-netzwerkkabel-12118171</t>
  </si>
  <si>
    <t xml:space="preserve">digitec Cat6a S/FTP Patchkabel 15 m</t>
  </si>
  <si>
    <t xml:space="preserve">https://www.digitec.ch/de/s1/product/digitec-ethernet-patchkabel-rj45-sftp-cat6a-15-m-netzwerkkabel-12118152</t>
  </si>
  <si>
    <t xml:space="preserve">Digitus Cat6a S/FTP Patchkabel 25 m</t>
  </si>
  <si>
    <t xml:space="preserve">https://www.digitec.ch/de/s1/product/digitus-cat-6a-sftp-patchkabel-25m-sftp-cat6a-25-m-netzwerkkabel-10291575</t>
  </si>
  <si>
    <t xml:space="preserve">InLine Patchkabel Slim Cat6a S/FTP 30 m</t>
  </si>
  <si>
    <t xml:space="preserve">https://www.digitec.ch/de/s1/product/inline-patchkabel-slim-sftp-cat6a-30-m-netzwerkkabel-38913357</t>
  </si>
  <si>
    <t xml:space="preserve">Gesamtkosten</t>
  </si>
  <si>
    <t xml:space="preserve">Stückliste – Heimnetzwerk Auftrag G  ·  Endnutzergeräte</t>
  </si>
  <si>
    <t xml:space="preserve">Alle Preise in CHF inkl. MwSt.  ·  Quelle: digitec.ch  ·  Stand: Mai 2026</t>
  </si>
  <si>
    <t xml:space="preserve">Apple iPhone 16 Pro, 128 GB</t>
  </si>
  <si>
    <t xml:space="preserve">Smartphone</t>
  </si>
  <si>
    <t xml:space="preserve">https://www.digitec.ch/de/s1/product/apple-iphone-16-pro-128-gb-black-titanium-630-sim-esim-5g-smartphone-49221230</t>
  </si>
  <si>
    <t xml:space="preserve">Apple MacBook Air M3 2024, 13.6", 8 GB / 256 GB (CH)</t>
  </si>
  <si>
    <t xml:space="preserve">Notebook</t>
  </si>
  <si>
    <t xml:space="preserve">https://www.digitec.ch/de/s1/product/apple-macbook-air-2024-1360-m3-8-gb-256-gb-ch-notebook-43366901</t>
  </si>
  <si>
    <t xml:space="preserve">Selbstbau-PC (Basic)
Komponenten selbst zusammengestellt</t>
  </si>
  <si>
    <t xml:space="preserve">Desktop-PC</t>
  </si>
  <si>
    <t xml:space="preserve">Selbstbau – kein Link</t>
  </si>
  <si>
    <t xml:space="preserve">Selbstbau-PC (Mid-Range)
Komponenten selbst zusammengestellt</t>
  </si>
  <si>
    <t xml:space="preserve">Selbstbau-PC (High-End)
Komponenten selbst zusammengestellt</t>
  </si>
  <si>
    <t xml:space="preserve">Samsung Crystal UHD 4K Fernseher 50" (UE50U8072F, 2025)</t>
  </si>
  <si>
    <t xml:space="preserve">Fernseher</t>
  </si>
  <si>
    <t xml:space="preserve">https://www.digitec.ch/de/s1/product/samsung-fernseher-ue50u8072fuxxh-uhd-fernseher-50-led-4k-2025-tv-57580115</t>
  </si>
  <si>
    <t xml:space="preserve">HP Color Laser MFP 178nw</t>
  </si>
  <si>
    <t xml:space="preserve">Drucker</t>
  </si>
  <si>
    <t xml:space="preserve">https://www.digitec.ch/de/s1/product/hp-color-laser-mfp-178nw-laser-farbe-drucker-11600155</t>
  </si>
  <si>
    <t xml:space="preserve">Gigaset Desk 200 (schnurgebunden)</t>
  </si>
  <si>
    <t xml:space="preserve">Festnetztelefon</t>
  </si>
  <si>
    <t xml:space="preserve">https://www.digitec.ch/de/s1/product/gigaset-desk-200-sw-schnurgebunden-telefon-24114532</t>
  </si>
  <si>
    <t xml:space="preserve">Gesamtkosten Endnutzergeräte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</si>
</sst>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F8A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u val="single"/>
      <sz val="9"/>
      <color rgb="FF2E5F8A"/>
      <name val="Arial"/>
      <family val="0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EEF4FA"/>
      </patternFill>
    </fill>
    <fill>
      <patternFill patternType="solid">
        <fgColor rgb="FF2E5F8A"/>
        <bgColor rgb="FF0066CC"/>
      </patternFill>
    </fill>
    <fill>
      <patternFill patternType="solid">
        <fgColor rgb="FFEEF4FA"/>
        <bgColor rgb="FFFFFFFF"/>
      </patternFill>
    </fill>
    <fill>
      <patternFill patternType="solid">
        <fgColor rgb="FFD6E4F0"/>
        <bgColor rgb="FFEEF4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EF4FA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unrise.ch/de/support/internet/connect-box-3" TargetMode="External"/><Relationship Id="rId2" Type="http://schemas.openxmlformats.org/officeDocument/2006/relationships/hyperlink" Target="https://www.digitec.ch/de/s1/product/tp-link-tl-sg108-8-ports-netzwerk-switch-737152" TargetMode="External"/><Relationship Id="rId3" Type="http://schemas.openxmlformats.org/officeDocument/2006/relationships/hyperlink" Target="https://www.digitec.ch/en/s1/product/asus-rt-be58u-routers-47005074" TargetMode="External"/><Relationship Id="rId4" Type="http://schemas.openxmlformats.org/officeDocument/2006/relationships/hyperlink" Target="https://www.digitec.ch/de/s1/product/digitec-ethernet-patchkabel-rj45-sftp-cat6a-2-m-netzwerkkabel-12118144" TargetMode="External"/><Relationship Id="rId5" Type="http://schemas.openxmlformats.org/officeDocument/2006/relationships/hyperlink" Target="https://www.digitec.ch/de/s1/product/digitec-ethernet-patchkabel-rj45-sftp-cat6a-10-m-netzwerkkabel-12118171" TargetMode="External"/><Relationship Id="rId6" Type="http://schemas.openxmlformats.org/officeDocument/2006/relationships/hyperlink" Target="https://www.digitec.ch/de/s1/product/digitec-ethernet-patchkabel-rj45-sftp-cat6a-15-m-netzwerkkabel-12118152" TargetMode="External"/><Relationship Id="rId7" Type="http://schemas.openxmlformats.org/officeDocument/2006/relationships/hyperlink" Target="https://www.digitec.ch/de/s1/product/digitus-cat-6a-sftp-patchkabel-25m-sftp-cat6a-25-m-netzwerkkabel-10291575" TargetMode="External"/><Relationship Id="rId8" Type="http://schemas.openxmlformats.org/officeDocument/2006/relationships/hyperlink" Target="https://www.digitec.ch/de/s1/product/inline-patchkabel-slim-sftp-cat6a-30-m-netzwerkkabel-38913357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igitec.ch/de/s1/product/apple-iphone-16-pro-128-gb-black-titanium-630-sim-esim-5g-smartphone-49221230" TargetMode="External"/><Relationship Id="rId2" Type="http://schemas.openxmlformats.org/officeDocument/2006/relationships/hyperlink" Target="https://www.digitec.ch/de/s1/product/apple-macbook-air-2024-1360-m3-8-gb-256-gb-ch-notebook-43366901" TargetMode="External"/><Relationship Id="rId3" Type="http://schemas.openxmlformats.org/officeDocument/2006/relationships/hyperlink" Target="https://www.digitec.ch/de/s1/product/samsung-fernseher-ue50u8072fuxxh-uhd-fernseher-50-led-4k-2025-tv-57580115" TargetMode="External"/><Relationship Id="rId4" Type="http://schemas.openxmlformats.org/officeDocument/2006/relationships/hyperlink" Target="https://www.digitec.ch/de/s1/product/hp-color-laser-mfp-178nw-laser-farbe-drucker-11600155" TargetMode="External"/><Relationship Id="rId5" Type="http://schemas.openxmlformats.org/officeDocument/2006/relationships/hyperlink" Target="https://www.digitec.ch/de/s1/product/gigaset-desk-200-sw-schnurgebunden-telefon-2411453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3" topLeftCell="A4" activePane="bottomLeft" state="frozen"/>
      <selection pane="topLeft" activeCell="A1" activeCellId="0" sqref="A1"/>
      <selection pane="bottomLeft" activeCell="H6" activeCellId="0" sqref="H6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5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36" hidden="false" customHeight="true" outlineLevel="0" collapsed="false">
      <c r="A4" s="4" t="n">
        <v>1</v>
      </c>
      <c r="B4" s="5" t="s">
        <v>10</v>
      </c>
      <c r="C4" s="5" t="s">
        <v>11</v>
      </c>
      <c r="D4" s="4" t="n">
        <v>1</v>
      </c>
      <c r="E4" s="6" t="s">
        <v>12</v>
      </c>
      <c r="F4" s="6" t="s">
        <v>13</v>
      </c>
      <c r="G4" s="4" t="s">
        <v>14</v>
      </c>
      <c r="H4" s="7" t="s">
        <v>15</v>
      </c>
    </row>
    <row r="5" customFormat="false" ht="36" hidden="false" customHeight="true" outlineLevel="0" collapsed="false">
      <c r="A5" s="8" t="n">
        <v>2</v>
      </c>
      <c r="B5" s="9" t="s">
        <v>16</v>
      </c>
      <c r="C5" s="9" t="s">
        <v>17</v>
      </c>
      <c r="D5" s="8" t="n">
        <v>1</v>
      </c>
      <c r="E5" s="10" t="n">
        <v>19.7</v>
      </c>
      <c r="F5" s="10" t="n">
        <f aca="false">D5*E5</f>
        <v>19.7</v>
      </c>
      <c r="G5" s="8" t="s">
        <v>18</v>
      </c>
      <c r="H5" s="11" t="s">
        <v>19</v>
      </c>
    </row>
    <row r="6" customFormat="false" ht="36" hidden="false" customHeight="true" outlineLevel="0" collapsed="false">
      <c r="A6" s="4" t="n">
        <v>3</v>
      </c>
      <c r="B6" s="12" t="s">
        <v>20</v>
      </c>
      <c r="C6" s="12" t="s">
        <v>21</v>
      </c>
      <c r="D6" s="4" t="n">
        <v>1</v>
      </c>
      <c r="E6" s="13" t="n">
        <v>77.9</v>
      </c>
      <c r="F6" s="14" t="n">
        <v>77.9</v>
      </c>
      <c r="G6" s="15" t="s">
        <v>18</v>
      </c>
      <c r="H6" s="16" t="s">
        <v>22</v>
      </c>
    </row>
    <row r="7" customFormat="false" ht="36" hidden="false" customHeight="true" outlineLevel="0" collapsed="false">
      <c r="A7" s="8" t="n">
        <v>4</v>
      </c>
      <c r="B7" s="9" t="s">
        <v>23</v>
      </c>
      <c r="C7" s="9" t="s">
        <v>24</v>
      </c>
      <c r="D7" s="8" t="n">
        <v>1</v>
      </c>
      <c r="E7" s="10" t="n">
        <v>12.8</v>
      </c>
      <c r="F7" s="10" t="n">
        <f aca="false">D7*E7</f>
        <v>12.8</v>
      </c>
      <c r="G7" s="8" t="s">
        <v>18</v>
      </c>
      <c r="H7" s="11" t="s">
        <v>25</v>
      </c>
    </row>
    <row r="8" customFormat="false" ht="36" hidden="false" customHeight="true" outlineLevel="0" collapsed="false">
      <c r="A8" s="4" t="n">
        <v>5</v>
      </c>
      <c r="B8" s="5" t="s">
        <v>26</v>
      </c>
      <c r="C8" s="5" t="s">
        <v>24</v>
      </c>
      <c r="D8" s="4" t="n">
        <v>1</v>
      </c>
      <c r="E8" s="17" t="n">
        <v>19.3</v>
      </c>
      <c r="F8" s="17" t="n">
        <f aca="false">D8*E8</f>
        <v>19.3</v>
      </c>
      <c r="G8" s="4" t="s">
        <v>18</v>
      </c>
      <c r="H8" s="7" t="s">
        <v>27</v>
      </c>
    </row>
    <row r="9" customFormat="false" ht="36" hidden="false" customHeight="true" outlineLevel="0" collapsed="false">
      <c r="A9" s="8" t="n">
        <v>6</v>
      </c>
      <c r="B9" s="9" t="s">
        <v>28</v>
      </c>
      <c r="C9" s="9" t="s">
        <v>24</v>
      </c>
      <c r="D9" s="8" t="n">
        <v>2</v>
      </c>
      <c r="E9" s="10" t="n">
        <v>25.4</v>
      </c>
      <c r="F9" s="10" t="n">
        <f aca="false">D9*E9</f>
        <v>50.8</v>
      </c>
      <c r="G9" s="8" t="s">
        <v>18</v>
      </c>
      <c r="H9" s="11" t="s">
        <v>29</v>
      </c>
    </row>
    <row r="10" customFormat="false" ht="36" hidden="false" customHeight="true" outlineLevel="0" collapsed="false">
      <c r="A10" s="4" t="n">
        <v>7</v>
      </c>
      <c r="B10" s="5" t="s">
        <v>30</v>
      </c>
      <c r="C10" s="5" t="s">
        <v>24</v>
      </c>
      <c r="D10" s="4" t="n">
        <v>1</v>
      </c>
      <c r="E10" s="17" t="n">
        <v>65.2</v>
      </c>
      <c r="F10" s="17" t="n">
        <f aca="false">D10*E10</f>
        <v>65.2</v>
      </c>
      <c r="G10" s="4" t="s">
        <v>18</v>
      </c>
      <c r="H10" s="7" t="s">
        <v>31</v>
      </c>
    </row>
    <row r="11" customFormat="false" ht="36" hidden="false" customHeight="true" outlineLevel="0" collapsed="false">
      <c r="A11" s="8" t="n">
        <v>8</v>
      </c>
      <c r="B11" s="9" t="s">
        <v>32</v>
      </c>
      <c r="C11" s="9" t="s">
        <v>24</v>
      </c>
      <c r="D11" s="8" t="n">
        <v>1</v>
      </c>
      <c r="E11" s="10" t="n">
        <v>29.7</v>
      </c>
      <c r="F11" s="10" t="n">
        <f aca="false">D11*E11</f>
        <v>29.7</v>
      </c>
      <c r="G11" s="8" t="s">
        <v>18</v>
      </c>
      <c r="H11" s="11" t="s">
        <v>33</v>
      </c>
    </row>
    <row r="12" customFormat="false" ht="3.7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</row>
    <row r="13" customFormat="false" ht="21.75" hidden="false" customHeight="true" outlineLevel="0" collapsed="false">
      <c r="A13" s="19" t="s">
        <v>34</v>
      </c>
      <c r="B13" s="19"/>
      <c r="C13" s="19"/>
      <c r="D13" s="19"/>
      <c r="E13" s="19"/>
      <c r="F13" s="20" t="n">
        <f aca="false">F5+F7+F8+F9+F10+F11</f>
        <v>197.5</v>
      </c>
      <c r="G13" s="21"/>
      <c r="H13" s="21"/>
    </row>
  </sheetData>
  <mergeCells count="4">
    <mergeCell ref="A1:H1"/>
    <mergeCell ref="A2:H2"/>
    <mergeCell ref="A12:H12"/>
    <mergeCell ref="A13:E13"/>
  </mergeCells>
  <hyperlinks>
    <hyperlink ref="H4" r:id="rId1" display="https://www.sunrise.ch/de/support/internet/connect-box-3"/>
    <hyperlink ref="H5" r:id="rId2" display="https://www.digitec.ch/de/s1/product/tp-link-tl-sg108-8-ports-netzwerk-switch-737152"/>
    <hyperlink ref="H6" r:id="rId3" display="https://www.digitec.ch/en/s1/product/asus-rt-be58u-routers-47005074"/>
    <hyperlink ref="H7" r:id="rId4" display="https://www.digitec.ch/de/s1/product/digitec-ethernet-patchkabel-rj45-sftp-cat6a-2-m-netzwerkkabel-12118144"/>
    <hyperlink ref="H8" r:id="rId5" display="https://www.digitec.ch/de/s1/product/digitec-ethernet-patchkabel-rj45-sftp-cat6a-10-m-netzwerkkabel-12118171"/>
    <hyperlink ref="H9" r:id="rId6" display="https://www.digitec.ch/de/s1/product/digitec-ethernet-patchkabel-rj45-sftp-cat6a-15-m-netzwerkkabel-12118152"/>
    <hyperlink ref="H10" r:id="rId7" display="https://www.digitec.ch/de/s1/product/digitus-cat-6a-sftp-patchkabel-25m-sftp-cat6a-25-m-netzwerkkabel-10291575"/>
    <hyperlink ref="H11" r:id="rId8" display="https://www.digitec.ch/de/s1/product/inline-patchkabel-slim-sftp-cat6a-30-m-netzwerkkabel-3891335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22" t="s">
        <v>35</v>
      </c>
      <c r="B1" s="22"/>
      <c r="C1" s="22"/>
      <c r="D1" s="22"/>
      <c r="E1" s="22"/>
      <c r="F1" s="22"/>
      <c r="G1" s="22"/>
      <c r="H1" s="22"/>
    </row>
    <row r="2" customFormat="false" ht="15.75" hidden="false" customHeight="true" outlineLevel="0" collapsed="false">
      <c r="A2" s="23" t="s">
        <v>36</v>
      </c>
      <c r="B2" s="23"/>
      <c r="C2" s="23"/>
      <c r="D2" s="23"/>
      <c r="E2" s="23"/>
      <c r="F2" s="23"/>
      <c r="G2" s="23"/>
      <c r="H2" s="23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36" hidden="false" customHeight="true" outlineLevel="0" collapsed="false">
      <c r="A4" s="24" t="n">
        <v>1</v>
      </c>
      <c r="B4" s="25" t="s">
        <v>37</v>
      </c>
      <c r="C4" s="25" t="s">
        <v>38</v>
      </c>
      <c r="D4" s="24" t="n">
        <v>4</v>
      </c>
      <c r="E4" s="26" t="n">
        <v>1099</v>
      </c>
      <c r="F4" s="26" t="n">
        <f aca="false">D4*E4</f>
        <v>4396</v>
      </c>
      <c r="G4" s="24" t="s">
        <v>18</v>
      </c>
      <c r="H4" s="7" t="s">
        <v>39</v>
      </c>
    </row>
    <row r="5" customFormat="false" ht="36" hidden="false" customHeight="true" outlineLevel="0" collapsed="false">
      <c r="A5" s="27" t="n">
        <v>2</v>
      </c>
      <c r="B5" s="28" t="s">
        <v>40</v>
      </c>
      <c r="C5" s="28" t="s">
        <v>41</v>
      </c>
      <c r="D5" s="27" t="n">
        <v>3</v>
      </c>
      <c r="E5" s="29" t="n">
        <v>1299</v>
      </c>
      <c r="F5" s="29" t="n">
        <f aca="false">D5*E5</f>
        <v>3897</v>
      </c>
      <c r="G5" s="27" t="s">
        <v>18</v>
      </c>
      <c r="H5" s="11" t="s">
        <v>42</v>
      </c>
    </row>
    <row r="6" customFormat="false" ht="36" hidden="false" customHeight="true" outlineLevel="0" collapsed="false">
      <c r="A6" s="24" t="n">
        <v>3</v>
      </c>
      <c r="B6" s="25" t="s">
        <v>43</v>
      </c>
      <c r="C6" s="25" t="s">
        <v>44</v>
      </c>
      <c r="D6" s="24" t="n">
        <v>1</v>
      </c>
      <c r="E6" s="26" t="n">
        <v>300</v>
      </c>
      <c r="F6" s="26" t="n">
        <f aca="false">D6*E6</f>
        <v>300</v>
      </c>
      <c r="G6" s="24" t="s">
        <v>13</v>
      </c>
      <c r="H6" s="30" t="s">
        <v>45</v>
      </c>
    </row>
    <row r="7" customFormat="false" ht="36" hidden="false" customHeight="true" outlineLevel="0" collapsed="false">
      <c r="A7" s="27" t="n">
        <v>4</v>
      </c>
      <c r="B7" s="28" t="s">
        <v>46</v>
      </c>
      <c r="C7" s="28" t="s">
        <v>44</v>
      </c>
      <c r="D7" s="27" t="n">
        <v>1</v>
      </c>
      <c r="E7" s="29" t="n">
        <v>2000</v>
      </c>
      <c r="F7" s="29" t="n">
        <f aca="false">D7*E7</f>
        <v>2000</v>
      </c>
      <c r="G7" s="27" t="s">
        <v>13</v>
      </c>
      <c r="H7" s="31" t="s">
        <v>45</v>
      </c>
    </row>
    <row r="8" customFormat="false" ht="36" hidden="false" customHeight="true" outlineLevel="0" collapsed="false">
      <c r="A8" s="24" t="n">
        <v>5</v>
      </c>
      <c r="B8" s="25" t="s">
        <v>47</v>
      </c>
      <c r="C8" s="25" t="s">
        <v>44</v>
      </c>
      <c r="D8" s="24" t="n">
        <v>1</v>
      </c>
      <c r="E8" s="26" t="n">
        <v>4000</v>
      </c>
      <c r="F8" s="26" t="n">
        <f aca="false">D8*E8</f>
        <v>4000</v>
      </c>
      <c r="G8" s="24" t="s">
        <v>13</v>
      </c>
      <c r="H8" s="30" t="s">
        <v>45</v>
      </c>
    </row>
    <row r="9" customFormat="false" ht="36" hidden="false" customHeight="true" outlineLevel="0" collapsed="false">
      <c r="A9" s="27" t="n">
        <v>6</v>
      </c>
      <c r="B9" s="28" t="s">
        <v>48</v>
      </c>
      <c r="C9" s="28" t="s">
        <v>49</v>
      </c>
      <c r="D9" s="27" t="n">
        <v>1</v>
      </c>
      <c r="E9" s="29" t="n">
        <v>332</v>
      </c>
      <c r="F9" s="29" t="n">
        <f aca="false">D9*E9</f>
        <v>332</v>
      </c>
      <c r="G9" s="27" t="s">
        <v>18</v>
      </c>
      <c r="H9" s="11" t="s">
        <v>50</v>
      </c>
    </row>
    <row r="10" customFormat="false" ht="36" hidden="false" customHeight="true" outlineLevel="0" collapsed="false">
      <c r="A10" s="24" t="n">
        <v>7</v>
      </c>
      <c r="B10" s="25" t="s">
        <v>51</v>
      </c>
      <c r="C10" s="25" t="s">
        <v>52</v>
      </c>
      <c r="D10" s="24" t="n">
        <v>1</v>
      </c>
      <c r="E10" s="26" t="n">
        <v>179</v>
      </c>
      <c r="F10" s="26" t="n">
        <f aca="false">D10*E10</f>
        <v>179</v>
      </c>
      <c r="G10" s="24" t="s">
        <v>18</v>
      </c>
      <c r="H10" s="7" t="s">
        <v>53</v>
      </c>
    </row>
    <row r="11" customFormat="false" ht="36" hidden="false" customHeight="true" outlineLevel="0" collapsed="false">
      <c r="A11" s="27" t="n">
        <v>8</v>
      </c>
      <c r="B11" s="28" t="s">
        <v>54</v>
      </c>
      <c r="C11" s="28" t="s">
        <v>55</v>
      </c>
      <c r="D11" s="27" t="n">
        <v>1</v>
      </c>
      <c r="E11" s="29" t="n">
        <v>24.7</v>
      </c>
      <c r="F11" s="29" t="n">
        <f aca="false">D11*E11</f>
        <v>24.7</v>
      </c>
      <c r="G11" s="27" t="s">
        <v>18</v>
      </c>
      <c r="H11" s="11" t="s">
        <v>56</v>
      </c>
    </row>
    <row r="12" customFormat="false" ht="6" hidden="false" customHeight="true" outlineLevel="0" collapsed="false"/>
    <row r="13" customFormat="false" ht="21.75" hidden="false" customHeight="true" outlineLevel="0" collapsed="false">
      <c r="A13" s="32" t="s">
        <v>57</v>
      </c>
      <c r="B13" s="32"/>
      <c r="C13" s="32"/>
      <c r="D13" s="32"/>
      <c r="E13" s="32"/>
      <c r="F13" s="33" t="n">
        <f aca="false">F4+F5+F6+F7+F8+F9+F10+F11</f>
        <v>15128.7</v>
      </c>
      <c r="G13" s="21"/>
      <c r="H13" s="21"/>
    </row>
  </sheetData>
  <mergeCells count="3">
    <mergeCell ref="A1:H1"/>
    <mergeCell ref="A2:H2"/>
    <mergeCell ref="A13:E13"/>
  </mergeCells>
  <hyperlinks>
    <hyperlink ref="H4" r:id="rId1" display="https://www.digitec.ch/de/s1/product/apple-iphone-16-pro-128-gb-black-titanium-630-sim-esim-5g-smartphone-49221230"/>
    <hyperlink ref="H5" r:id="rId2" display="https://www.digitec.ch/de/s1/product/apple-macbook-air-2024-1360-m3-8-gb-256-gb-ch-notebook-43366901"/>
    <hyperlink ref="H9" r:id="rId3" display="https://www.digitec.ch/de/s1/product/samsung-fernseher-ue50u8072fuxxh-uhd-fernseher-50-led-4k-2025-tv-57580115"/>
    <hyperlink ref="H10" r:id="rId4" display="https://www.digitec.ch/de/s1/product/hp-color-laser-mfp-178nw-laser-farbe-drucker-11600155"/>
    <hyperlink ref="H11" r:id="rId5" display="https://www.digitec.ch/de/s1/product/gigaset-desk-200-sw-schnurgebunden-telefon-2411453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2026-05-28T08:38:19Z</dcterms:created>
  <dc:creator>openpyxl</dc:creator>
  <dc:description/>
  <dc:language>en-US</dc:language>
  <cp:lastModifiedBy>Joel Bonini</cp:lastModifiedBy>
  <dcterms:modified xsi:type="dcterms:W3CDTF">2026-05-28T09:03:11Z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