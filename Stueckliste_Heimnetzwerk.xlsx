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ücklis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<sst xmlns="http://schemas.openxmlformats.org/spreadsheetml/2006/main" count="45" uniqueCount="35">
  <si>
    <t xml:space="preserve">Stückliste – Heimnetzwerk Auftrag G</t>
  </si>
  <si>
    <t xml:space="preserve">Alle Preise in CHF inkl. MwSt.  ·  Quelle: digitec.ch  ·  Stand: Mai 2026</t>
  </si>
  <si>
    <t xml:space="preserve">Pos.</t>
  </si>
  <si>
    <t xml:space="preserve">Bezeichnung</t>
  </si>
  <si>
    <t xml:space="preserve">Typ</t>
  </si>
  <si>
    <t xml:space="preserve">Menge</t>
  </si>
  <si>
    <t xml:space="preserve">Einzelpreis
(CHF)</t>
  </si>
  <si>
    <t xml:space="preserve">Gesamtpreis
(CHF)</t>
  </si>
  <si>
    <t xml:space="preserve">Shop</t>
  </si>
  <si>
    <t xml:space="preserve">Link</t>
  </si>
  <si>
    <t xml:space="preserve">Sunrise Connect Box 3
(wird vom ISP gestellt)</t>
  </si>
  <si>
    <t xml:space="preserve">Router</t>
  </si>
  <si>
    <t xml:space="preserve">ISP-gestellt</t>
  </si>
  <si>
    <t xml:space="preserve">–</t>
  </si>
  <si>
    <t xml:space="preserve">sunrise.ch</t>
  </si>
  <si>
    <t xml:space="preserve">https://www.sunrise.ch/de/support/internet/connect-box-3</t>
  </si>
  <si>
    <t xml:space="preserve">TP-Link TL-SG108 8-Port Gigabit Switch</t>
  </si>
  <si>
    <t xml:space="preserve">Switch</t>
  </si>
  <si>
    <t xml:space="preserve">digitec.ch</t>
  </si>
  <si>
    <t xml:space="preserve">https://www.digitec.ch/de/s1/product/tp-link-tl-sg108-8-ports-netzwerk-switch-737152</t>
  </si>
  <si>
    <t xml:space="preserve">ASUS RT-BE58U</t>
  </si>
  <si>
    <t xml:space="preserve">Router / Access Point</t>
  </si>
  <si>
    <t xml:space="preserve">https://www.digitec.ch/en/s1/product/asus-rt-be58u-routers-47005074</t>
  </si>
  <si>
    <t xml:space="preserve">digitec Cat6a S/FTP Patchkabel 2 m</t>
  </si>
  <si>
    <t xml:space="preserve">LAN-Kabel</t>
  </si>
  <si>
    <t xml:space="preserve">https://www.digitec.ch/de/s1/product/digitec-ethernet-patchkabel-rj45-sftp-cat6a-2-m-netzwerkkabel-12118144</t>
  </si>
  <si>
    <t xml:space="preserve">digitec Cat6a S/FTP Patchkabel 10 m</t>
  </si>
  <si>
    <t xml:space="preserve">https://www.digitec.ch/de/s1/product/digitec-ethernet-patchkabel-rj45-sftp-cat6a-10-m-netzwerkkabel-12118171</t>
  </si>
  <si>
    <t xml:space="preserve">digitec Cat6a S/FTP Patchkabel 15 m</t>
  </si>
  <si>
    <t xml:space="preserve">https://www.digitec.ch/de/s1/product/digitec-ethernet-patchkabel-rj45-sftp-cat6a-15-m-netzwerkkabel-12118152</t>
  </si>
  <si>
    <t xml:space="preserve">Digitus Cat6a S/FTP Patchkabel 25 m</t>
  </si>
  <si>
    <t xml:space="preserve">https://www.digitec.ch/de/s1/product/digitus-cat-6a-sftp-patchkabel-25m-sftp-cat6a-25-m-netzwerkkabel-10291575</t>
  </si>
  <si>
    <t xml:space="preserve">InLine Patchkabel Slim Cat6a S/FTP 30 m</t>
  </si>
  <si>
    <t xml:space="preserve">https://www.digitec.ch/de/s1/product/inline-patchkabel-slim-sftp-cat6a-30-m-netzwerkkabel-38913357</t>
  </si>
  <si>
    <t xml:space="preserve">Gesamtkosten (ohne Pos. 1 – ISP-gestellt)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</si>
</sst>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E5F8A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888888"/>
      <name val="Arial"/>
      <family val="0"/>
      <charset val="1"/>
    </font>
    <font>
      <u val="single"/>
      <sz val="9"/>
      <color rgb="FF2E5F8A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EEF4FA"/>
      </patternFill>
    </fill>
    <fill>
      <patternFill patternType="solid">
        <fgColor rgb="FF2E5F8A"/>
        <bgColor rgb="FF0066CC"/>
      </patternFill>
    </fill>
    <fill>
      <patternFill patternType="solid">
        <fgColor rgb="FFEEF4FA"/>
        <bgColor rgb="FFFFFFFF"/>
      </patternFill>
    </fill>
    <fill>
      <patternFill patternType="solid">
        <fgColor rgb="FFD6E4F0"/>
        <bgColor rgb="FFEEF4F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4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EEF4FA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2E5F8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unrise.ch/de/support/internet/connect-box-3" TargetMode="External"/><Relationship Id="rId2" Type="http://schemas.openxmlformats.org/officeDocument/2006/relationships/hyperlink" Target="https://www.digitec.ch/de/s1/product/tp-link-tl-sg108-8-ports-netzwerk-switch-737152" TargetMode="External"/><Relationship Id="rId3" Type="http://schemas.openxmlformats.org/officeDocument/2006/relationships/hyperlink" Target="https://www.digitec.ch/en/s1/product/asus-rt-be58u-routers-47005074" TargetMode="External"/><Relationship Id="rId4" Type="http://schemas.openxmlformats.org/officeDocument/2006/relationships/hyperlink" Target="https://www.digitec.ch/de/s1/product/digitec-ethernet-patchkabel-rj45-sftp-cat6a-2-m-netzwerkkabel-12118144" TargetMode="External"/><Relationship Id="rId5" Type="http://schemas.openxmlformats.org/officeDocument/2006/relationships/hyperlink" Target="https://www.digitec.ch/de/s1/product/digitec-ethernet-patchkabel-rj45-sftp-cat6a-10-m-netzwerkkabel-12118171" TargetMode="External"/><Relationship Id="rId6" Type="http://schemas.openxmlformats.org/officeDocument/2006/relationships/hyperlink" Target="https://www.digitec.ch/de/s1/product/digitec-ethernet-patchkabel-rj45-sftp-cat6a-15-m-netzwerkkabel-12118152" TargetMode="External"/><Relationship Id="rId7" Type="http://schemas.openxmlformats.org/officeDocument/2006/relationships/hyperlink" Target="https://www.digitec.ch/de/s1/product/digitus-cat-6a-sftp-patchkabel-25m-sftp-cat6a-25-m-netzwerkkabel-10291575" TargetMode="External"/><Relationship Id="rId8" Type="http://schemas.openxmlformats.org/officeDocument/2006/relationships/hyperlink" Target="https://www.digitec.ch/de/s1/product/inline-patchkabel-slim-sftp-cat6a-30-m-netzwerkkabel-3891335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6" min="5" style="0" width="14"/>
    <col collapsed="false" customWidth="true" hidden="false" outlineLevel="0" max="7" min="7" style="0" width="11"/>
    <col collapsed="false" customWidth="true" hidden="false" outlineLevel="0" max="8" min="8" style="0" width="5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</row>
    <row r="4" customFormat="false" ht="31.5" hidden="false" customHeight="true" outlineLevel="0" collapsed="false">
      <c r="A4" s="4" t="n">
        <v>1</v>
      </c>
      <c r="B4" s="5" t="s">
        <v>10</v>
      </c>
      <c r="C4" s="5" t="s">
        <v>11</v>
      </c>
      <c r="D4" s="4" t="n">
        <v>1</v>
      </c>
      <c r="E4" s="6" t="s">
        <v>12</v>
      </c>
      <c r="F4" s="6" t="s">
        <v>13</v>
      </c>
      <c r="G4" s="4" t="s">
        <v>14</v>
      </c>
      <c r="H4" s="7" t="s">
        <v>15</v>
      </c>
    </row>
    <row r="5" customFormat="false" ht="31.5" hidden="false" customHeight="true" outlineLevel="0" collapsed="false">
      <c r="A5" s="8" t="n">
        <v>2</v>
      </c>
      <c r="B5" s="9" t="s">
        <v>16</v>
      </c>
      <c r="C5" s="9" t="s">
        <v>17</v>
      </c>
      <c r="D5" s="8" t="n">
        <v>1</v>
      </c>
      <c r="E5" s="10" t="n">
        <v>19.7</v>
      </c>
      <c r="F5" s="10" t="n">
        <f aca="false">D5*E5</f>
        <v>19.7</v>
      </c>
      <c r="G5" s="8" t="s">
        <v>18</v>
      </c>
      <c r="H5" s="11" t="s">
        <v>19</v>
      </c>
    </row>
    <row r="6" customFormat="false" ht="31.5" hidden="false" customHeight="true" outlineLevel="0" collapsed="false">
      <c r="A6" s="4" t="n">
        <v>3</v>
      </c>
      <c r="B6" s="5" t="s">
        <v>20</v>
      </c>
      <c r="C6" s="5" t="s">
        <v>21</v>
      </c>
      <c r="D6" s="4" t="n">
        <v>1</v>
      </c>
      <c r="E6" s="12" t="n">
        <v>77.9</v>
      </c>
      <c r="F6" s="12" t="n">
        <f aca="false">D6*E6</f>
        <v>77.9</v>
      </c>
      <c r="G6" s="4" t="s">
        <v>18</v>
      </c>
      <c r="H6" s="7" t="s">
        <v>22</v>
      </c>
    </row>
    <row r="7" customFormat="false" ht="31.5" hidden="false" customHeight="true" outlineLevel="0" collapsed="false">
      <c r="A7" s="8" t="n">
        <v>4</v>
      </c>
      <c r="B7" s="9" t="s">
        <v>23</v>
      </c>
      <c r="C7" s="9" t="s">
        <v>24</v>
      </c>
      <c r="D7" s="8" t="n">
        <v>1</v>
      </c>
      <c r="E7" s="10" t="n">
        <v>12.8</v>
      </c>
      <c r="F7" s="10" t="n">
        <f aca="false">D7*E7</f>
        <v>12.8</v>
      </c>
      <c r="G7" s="8" t="s">
        <v>18</v>
      </c>
      <c r="H7" s="11" t="s">
        <v>25</v>
      </c>
    </row>
    <row r="8" customFormat="false" ht="31.5" hidden="false" customHeight="true" outlineLevel="0" collapsed="false">
      <c r="A8" s="4" t="n">
        <v>5</v>
      </c>
      <c r="B8" s="5" t="s">
        <v>26</v>
      </c>
      <c r="C8" s="5" t="s">
        <v>24</v>
      </c>
      <c r="D8" s="4" t="n">
        <v>1</v>
      </c>
      <c r="E8" s="12" t="n">
        <v>19.3</v>
      </c>
      <c r="F8" s="12" t="n">
        <f aca="false">D8*E8</f>
        <v>19.3</v>
      </c>
      <c r="G8" s="4" t="s">
        <v>18</v>
      </c>
      <c r="H8" s="7" t="s">
        <v>27</v>
      </c>
    </row>
    <row r="9" customFormat="false" ht="31.5" hidden="false" customHeight="true" outlineLevel="0" collapsed="false">
      <c r="A9" s="8" t="n">
        <v>6</v>
      </c>
      <c r="B9" s="9" t="s">
        <v>28</v>
      </c>
      <c r="C9" s="9" t="s">
        <v>24</v>
      </c>
      <c r="D9" s="8" t="n">
        <v>2</v>
      </c>
      <c r="E9" s="10" t="n">
        <v>25.4</v>
      </c>
      <c r="F9" s="10" t="n">
        <f aca="false">D9*E9</f>
        <v>50.8</v>
      </c>
      <c r="G9" s="8" t="s">
        <v>18</v>
      </c>
      <c r="H9" s="11" t="s">
        <v>29</v>
      </c>
    </row>
    <row r="10" customFormat="false" ht="31.5" hidden="false" customHeight="true" outlineLevel="0" collapsed="false">
      <c r="A10" s="4" t="n">
        <v>7</v>
      </c>
      <c r="B10" s="5" t="s">
        <v>30</v>
      </c>
      <c r="C10" s="5" t="s">
        <v>24</v>
      </c>
      <c r="D10" s="4" t="n">
        <v>1</v>
      </c>
      <c r="E10" s="12" t="n">
        <v>65.2</v>
      </c>
      <c r="F10" s="12" t="n">
        <f aca="false">D10*E10</f>
        <v>65.2</v>
      </c>
      <c r="G10" s="4" t="s">
        <v>18</v>
      </c>
      <c r="H10" s="7" t="s">
        <v>31</v>
      </c>
    </row>
    <row r="11" customFormat="false" ht="31.5" hidden="false" customHeight="true" outlineLevel="0" collapsed="false">
      <c r="A11" s="8" t="n">
        <v>8</v>
      </c>
      <c r="B11" s="9" t="s">
        <v>32</v>
      </c>
      <c r="C11" s="9" t="s">
        <v>24</v>
      </c>
      <c r="D11" s="8" t="n">
        <v>1</v>
      </c>
      <c r="E11" s="10" t="n">
        <v>29.7</v>
      </c>
      <c r="F11" s="10" t="n">
        <f aca="false">D11*E11</f>
        <v>29.7</v>
      </c>
      <c r="G11" s="8" t="s">
        <v>18</v>
      </c>
      <c r="H11" s="11" t="s">
        <v>33</v>
      </c>
    </row>
    <row r="12" customFormat="false" ht="6" hidden="false" customHeight="true" outlineLevel="0" collapsed="false"/>
    <row r="13" customFormat="false" ht="21.75" hidden="false" customHeight="true" outlineLevel="0" collapsed="false">
      <c r="A13" s="13" t="s">
        <v>34</v>
      </c>
      <c r="B13" s="13"/>
      <c r="C13" s="13"/>
      <c r="D13" s="13"/>
      <c r="E13" s="13"/>
      <c r="F13" s="14" t="n">
        <f aca="false">F5+F6+F7+F8+F9+F10+F11</f>
        <v>275.4</v>
      </c>
      <c r="G13" s="15"/>
      <c r="H13" s="15"/>
    </row>
  </sheetData>
  <mergeCells count="3">
    <mergeCell ref="A1:H1"/>
    <mergeCell ref="A2:H2"/>
    <mergeCell ref="A13:E13"/>
  </mergeCells>
  <hyperlinks>
    <hyperlink ref="H4" r:id="rId1" display="https://www.sunrise.ch/de/support/internet/connect-box-3"/>
    <hyperlink ref="H5" r:id="rId2" display="https://www.digitec.ch/de/s1/product/tp-link-tl-sg108-8-ports-netzwerk-switch-737152"/>
    <hyperlink ref="H6" r:id="rId3" display="https://www.digitec.ch/en/s1/product/asus-rt-be58u-routers-47005074"/>
    <hyperlink ref="H7" r:id="rId4" display="https://www.digitec.ch/de/s1/product/digitec-ethernet-patchkabel-rj45-sftp-cat6a-2-m-netzwerkkabel-12118144"/>
    <hyperlink ref="H8" r:id="rId5" display="https://www.digitec.ch/de/s1/product/digitec-ethernet-patchkabel-rj45-sftp-cat6a-10-m-netzwerkkabel-12118171"/>
    <hyperlink ref="H9" r:id="rId6" display="https://www.digitec.ch/de/s1/product/digitec-ethernet-patchkabel-rj45-sftp-cat6a-15-m-netzwerkkabel-12118152"/>
    <hyperlink ref="H10" r:id="rId7" display="https://www.digitec.ch/de/s1/product/digitus-cat-6a-sftp-patchkabel-25m-sftp-cat6a-25-m-netzwerkkabel-10291575"/>
    <hyperlink ref="H11" r:id="rId8" display="https://www.digitec.ch/de/s1/product/inline-patchkabel-slim-sftp-cat6a-30-m-netzwerkkabel-3891335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2026-05-28T08:47:59Z</dcterms:created>
  <dc:creator>openpyxl</dc:creator>
  <dc:description/>
  <dc:language>en-US</dc:language>
  <cp:lastModifiedBy/>
  <dcterms:modified xsi:type="dcterms:W3CDTF">2026-05-28T08:47:59Z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